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45cdfd338441d59/Dokumente/AI-Projects/Lexware-Stundenabrechnung-Reisekosten/"/>
    </mc:Choice>
  </mc:AlternateContent>
  <xr:revisionPtr revIDLastSave="20" documentId="11_A3892C6F0FAA6B02298C1F961E84A730A5E2F14C" xr6:coauthVersionLast="47" xr6:coauthVersionMax="47" xr10:uidLastSave="{BB9A4056-8D49-4806-8653-C00B7FE5398E}"/>
  <bookViews>
    <workbookView xWindow="-93" yWindow="-93" windowWidth="25786" windowHeight="15466" activeTab="3" xr2:uid="{00000000-000D-0000-FFFF-FFFF00000000}"/>
  </bookViews>
  <sheets>
    <sheet name="Übersicht &amp; Vergleich" sheetId="1" r:id="rId1"/>
    <sheet name="Interaktiver Rechner" sheetId="2" r:id="rId2"/>
    <sheet name="Jahresverlauf (Simulation)" sheetId="3" r:id="rId3"/>
    <sheet name="Steuer-Ratgeber &amp; Auszahlu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3" l="1"/>
  <c r="G20" i="3"/>
  <c r="F20" i="3"/>
  <c r="E20" i="3"/>
  <c r="D20" i="3"/>
  <c r="C20" i="3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C15" i="3"/>
  <c r="D15" i="3" s="1"/>
  <c r="H14" i="3"/>
  <c r="G14" i="3"/>
  <c r="F14" i="3"/>
  <c r="E14" i="3"/>
  <c r="C14" i="3"/>
  <c r="D14" i="3" s="1"/>
  <c r="H13" i="3"/>
  <c r="G13" i="3"/>
  <c r="F13" i="3"/>
  <c r="E13" i="3"/>
  <c r="C13" i="3"/>
  <c r="D13" i="3" s="1"/>
  <c r="H12" i="3"/>
  <c r="G12" i="3"/>
  <c r="F12" i="3"/>
  <c r="E12" i="3"/>
  <c r="C12" i="3"/>
  <c r="D12" i="3" s="1"/>
  <c r="H11" i="3"/>
  <c r="G11" i="3"/>
  <c r="F11" i="3"/>
  <c r="E11" i="3"/>
  <c r="C11" i="3"/>
  <c r="D11" i="3" s="1"/>
  <c r="H10" i="3"/>
  <c r="G10" i="3"/>
  <c r="F10" i="3"/>
  <c r="E10" i="3"/>
  <c r="C10" i="3"/>
  <c r="D10" i="3" s="1"/>
  <c r="H9" i="3"/>
  <c r="G9" i="3"/>
  <c r="F9" i="3"/>
  <c r="E9" i="3"/>
  <c r="C9" i="3"/>
  <c r="D9" i="3" s="1"/>
  <c r="H8" i="3"/>
  <c r="G8" i="3"/>
  <c r="F8" i="3"/>
  <c r="E8" i="3"/>
  <c r="C8" i="3"/>
  <c r="D8" i="3" s="1"/>
  <c r="H7" i="3"/>
  <c r="G7" i="3"/>
  <c r="F7" i="3"/>
  <c r="E7" i="3"/>
  <c r="D7" i="3"/>
  <c r="C7" i="3"/>
  <c r="H6" i="3"/>
  <c r="G6" i="3"/>
  <c r="F6" i="3"/>
  <c r="E6" i="3"/>
  <c r="C6" i="3"/>
  <c r="D6" i="3" s="1"/>
  <c r="C27" i="2"/>
  <c r="C26" i="2"/>
  <c r="F24" i="2"/>
  <c r="E24" i="2"/>
  <c r="E25" i="2" s="1"/>
  <c r="D24" i="2"/>
  <c r="C24" i="2"/>
  <c r="C28" i="2" s="1"/>
  <c r="F23" i="2"/>
  <c r="E23" i="2"/>
  <c r="D23" i="2"/>
  <c r="D25" i="2" s="1"/>
  <c r="C23" i="2"/>
  <c r="F30" i="1"/>
  <c r="G30" i="1" s="1"/>
  <c r="E30" i="1"/>
  <c r="D30" i="1"/>
  <c r="I30" i="1" s="1"/>
  <c r="I29" i="1"/>
  <c r="H29" i="1"/>
  <c r="F29" i="1"/>
  <c r="G29" i="1" s="1"/>
  <c r="E29" i="1"/>
  <c r="D29" i="1"/>
  <c r="I28" i="1"/>
  <c r="H28" i="1"/>
  <c r="F28" i="1"/>
  <c r="G28" i="1" s="1"/>
  <c r="E28" i="1"/>
  <c r="D28" i="1"/>
  <c r="H27" i="1"/>
  <c r="F27" i="1"/>
  <c r="G27" i="1" s="1"/>
  <c r="E27" i="1"/>
  <c r="D27" i="1"/>
  <c r="I27" i="1" s="1"/>
  <c r="I26" i="1"/>
  <c r="H26" i="1"/>
  <c r="F26" i="1"/>
  <c r="G26" i="1" s="1"/>
  <c r="E26" i="1"/>
  <c r="D26" i="1"/>
  <c r="F25" i="1"/>
  <c r="G25" i="1" s="1"/>
  <c r="E25" i="1"/>
  <c r="D25" i="1"/>
  <c r="I25" i="1" s="1"/>
  <c r="I24" i="1"/>
  <c r="H24" i="1"/>
  <c r="F24" i="1"/>
  <c r="G24" i="1" s="1"/>
  <c r="E24" i="1"/>
  <c r="D24" i="1"/>
  <c r="F23" i="1"/>
  <c r="G23" i="1" s="1"/>
  <c r="E23" i="1"/>
  <c r="D23" i="1"/>
  <c r="I23" i="1" s="1"/>
  <c r="I22" i="1"/>
  <c r="F22" i="1"/>
  <c r="G22" i="1" s="1"/>
  <c r="E22" i="1"/>
  <c r="D22" i="1"/>
  <c r="H22" i="1" s="1"/>
  <c r="G21" i="1"/>
  <c r="F21" i="1"/>
  <c r="E21" i="1"/>
  <c r="D21" i="1"/>
  <c r="I21" i="1" s="1"/>
  <c r="F20" i="1"/>
  <c r="G20" i="1" s="1"/>
  <c r="E20" i="1"/>
  <c r="D20" i="1"/>
  <c r="I20" i="1" s="1"/>
  <c r="I19" i="1"/>
  <c r="F19" i="1"/>
  <c r="G19" i="1" s="1"/>
  <c r="E19" i="1"/>
  <c r="D19" i="1"/>
  <c r="H19" i="1" s="1"/>
  <c r="F18" i="1"/>
  <c r="E18" i="1"/>
  <c r="D18" i="1"/>
  <c r="I18" i="1" s="1"/>
  <c r="I17" i="1"/>
  <c r="H17" i="1"/>
  <c r="G17" i="1"/>
  <c r="F17" i="1"/>
  <c r="E17" i="1"/>
  <c r="D17" i="1"/>
  <c r="H16" i="1"/>
  <c r="F16" i="1"/>
  <c r="G16" i="1" s="1"/>
  <c r="E16" i="1"/>
  <c r="D16" i="1"/>
  <c r="I16" i="1" s="1"/>
  <c r="C30" i="2" l="1"/>
  <c r="C29" i="2"/>
  <c r="E26" i="2"/>
  <c r="E27" i="2" s="1"/>
  <c r="E28" i="2" s="1"/>
  <c r="D26" i="2"/>
  <c r="D27" i="2" s="1"/>
  <c r="D28" i="2" s="1"/>
  <c r="H30" i="1"/>
  <c r="H25" i="1"/>
  <c r="H20" i="1"/>
  <c r="H21" i="1"/>
  <c r="C25" i="2"/>
  <c r="F25" i="2"/>
  <c r="H23" i="1"/>
  <c r="G18" i="1"/>
  <c r="H18" i="1"/>
  <c r="D29" i="2" l="1"/>
  <c r="D30" i="2"/>
  <c r="E30" i="2"/>
  <c r="E29" i="2"/>
  <c r="F26" i="2"/>
  <c r="F27" i="2" s="1"/>
  <c r="F28" i="2" s="1"/>
  <c r="F29" i="2" l="1"/>
  <c r="F30" i="2"/>
</calcChain>
</file>

<file path=xl/sharedStrings.xml><?xml version="1.0" encoding="utf-8"?>
<sst xmlns="http://schemas.openxmlformats.org/spreadsheetml/2006/main" count="119" uniqueCount="119">
  <si>
    <t>Vermögensaufbau &amp; Sparplan-Vergleich (25 € bis 150 € / 5 - 15 Jahre)</t>
  </si>
  <si>
    <t>Übersicht über 4 Anlageoptionen inkl. Endvermögen, Renditeannahmen und Steuerbehandlung bei Auszahlung</t>
  </si>
  <si>
    <t>1. Die 4 Anlagestrategien im Profil</t>
  </si>
  <si>
    <t>Option / Strategie</t>
  </si>
  <si>
    <t>Zielrendite (p.a.)</t>
  </si>
  <si>
    <t>Risikoprofil</t>
  </si>
  <si>
    <t>Kosten p.a.</t>
  </si>
  <si>
    <t>Steuer in Sparphase</t>
  </si>
  <si>
    <t>Steuer bei Einmalauszahlung</t>
  </si>
  <si>
    <t>Steuer bei Monatsauszahlung (Rente)</t>
  </si>
  <si>
    <t>Option 1: Zinssparen / Tages- &amp; Festgeld</t>
  </si>
  <si>
    <t>Sehr gering (100k Einlagensicherung)</t>
  </si>
  <si>
    <t>0,00%</t>
  </si>
  <si>
    <t>Jährlich Abgeltungsteuer auf Zinsen (abzgl. 1.000 € Freibetrag)</t>
  </si>
  <si>
    <t>Bereits jährlich versteuert (keine Nachsteuer auf Kapital)</t>
  </si>
  <si>
    <t>Kapitalauszahlung steuerfrei, Zinsen auf Restkapital steuerpflichtig</t>
  </si>
  <si>
    <t>Option 2: Welt-Aktien-ETF (MSCI World / All-World) im Depot</t>
  </si>
  <si>
    <t>Moderat-Höher (Kursschwankungen)</t>
  </si>
  <si>
    <t>~0,20% (TER)</t>
  </si>
  <si>
    <t>Vorabpauschale (EZB-Basiszins x 70% abzgl. Freibetrag)</t>
  </si>
  <si>
    <t>Abgeltungsteuer (26,375%) auf Kursgewinne abzgl. 30% Teilfreistellung</t>
  </si>
  <si>
    <t>Entnahmeplan: Sukzessive Versteuerung nur des Gewinnanteils der Verkäufe (Freibetrag nutzbar)</t>
  </si>
  <si>
    <t>Option 3: ETF-Rentenversicherung (Fondspolice)</t>
  </si>
  <si>
    <t>Moderat-Höher (ETFs im Versicherungsmantel)</t>
  </si>
  <si>
    <t>~0,60% Effektivk.</t>
  </si>
  <si>
    <t>100% steuerfrei (keine Vorabpauschale, steuerfreies Umschichten)</t>
  </si>
  <si>
    <t>Halbeinkünfteverfahren (12/62-Regel): 50% Gewinn mit persönl. Steuersatz + 15% TFS</t>
  </si>
  <si>
    <t>Ertragsanteilsbesteuerung (z.B. mit 67 Jahren nur 17% der Rente einkommensteuerpflichtig)</t>
  </si>
  <si>
    <t>Option 4: Ausgewogenes Multi-Asset Portfolio (60% ETF / 40% Zins)</t>
  </si>
  <si>
    <t>Moderat-Gering (Ausgewogen)</t>
  </si>
  <si>
    <t>~0,25% (TER)</t>
  </si>
  <si>
    <t>Zinsen jährlich, ETF via Vorabpauschale</t>
  </si>
  <si>
    <t>Abgeltungsteuer auf ETF-Gewinne (Mischfonds 15% TFS) &amp; Zinsen</t>
  </si>
  <si>
    <t>Entnahmeplan: Steuerlich aufgeteilt nach Zins- und ETF-Gewinnanteil</t>
  </si>
  <si>
    <t>2. Vermögensentwicklung: Detailvergleich aller Kombinationen</t>
  </si>
  <si>
    <t>Berechnung: Monatlich vorschüssige Sparrate. Werte vor Steuern (Brutto) und Schätzung des Netto-Endvermögens bei Einmalauszahlung.</t>
  </si>
  <si>
    <t>Monatl. Sparrate</t>
  </si>
  <si>
    <t>Laufzeit (Jahre)</t>
  </si>
  <si>
    <t>Eingezahltes Kapital</t>
  </si>
  <si>
    <t>Opt 1: Festgeld (2,5%)
Endkapital Netto</t>
  </si>
  <si>
    <t>Opt 2: Welt-ETF (7,0%)
Endkapital Brutto</t>
  </si>
  <si>
    <t>Opt 2: Welt-ETF
Endkapital Netto*</t>
  </si>
  <si>
    <t>Opt 3: Rentenvers. (5,4%)
Endkapital Netto (12/62)**</t>
  </si>
  <si>
    <t>Opt 4: Multi-Asset (4,8%)
Endkapital Netto*</t>
  </si>
  <si>
    <t>* Netto-Schätzung Einmalauszahlung: Versteuerung des gesamten Gewinns mit 26,375% Abgeltungsteuer (inkl. Soli) abzgl. gesetzl. Teilfreistellung (30% bei Aktien-ETFs).</t>
  </si>
  <si>
    <t>** Rentenversicherung: Bei &gt;= 12 Jahren Laufzeit Halbeinkünfteverfahren nach § 20 Abs. 1 Nr. 6 EStG (50% Gewinn mit indiv. Steuersatz ca. 30% versteuert abzgl. 15% TFS).</t>
  </si>
  <si>
    <t>Hinweis: Bei Auszahlung via monatlichem Entnahmeplan/Rente fällt die Steuerbelastung deutlich geringer bzw. zeitlich stark gestreckt an (Ausnutzung jährl. Freibetrag von 1.000 €).</t>
  </si>
  <si>
    <t>Interaktiver Sparplan- &amp; Auszahlungsrechner</t>
  </si>
  <si>
    <t>Passe die gelb hinterlegten Parameter an, um individuelle Szenarien live durchzurechnen.</t>
  </si>
  <si>
    <t>A. Eingabeparameter (Gelbe Felder bearbeitbar)</t>
  </si>
  <si>
    <t>Monatliche Sparrate (€)</t>
  </si>
  <si>
    <t>Gewünschter monatlicher Sparbetrag (z.B. 25, 50, 75, 100, 150)</t>
  </si>
  <si>
    <t>Anlagedauer (Jahre)</t>
  </si>
  <si>
    <t>Laufzeit bis zum Renten-/Auszahlungsbeginn</t>
  </si>
  <si>
    <t>Sparer-Pauschbetrag / Jahr (€)</t>
  </si>
  <si>
    <t>Gesetzlicher Steuerfreibetrag (1.000 € Single / 2.000 € Verheiratet)</t>
  </si>
  <si>
    <t>Abgeltungsteuersatz (+Soli)</t>
  </si>
  <si>
    <t>25% Kapitalertragsteuer + 5,5% Soli = 26,375%</t>
  </si>
  <si>
    <t>Individueller Steuersatz im Alter</t>
  </si>
  <si>
    <t>Geschätzter persönlicher Einkommensteuersatz im Rentenalter</t>
  </si>
  <si>
    <t>Entnahmedauer im Alter (Jahre)</t>
  </si>
  <si>
    <t>Geplanter Auszahlungszeitraum für monatliche Rente</t>
  </si>
  <si>
    <t>Zinssatz während Entnahmephase (p.a.)</t>
  </si>
  <si>
    <t>Konservative Verzinsung des verbleibenden Kapitals im Alter</t>
  </si>
  <si>
    <t>Renditeannahmen pro Option (p.a.)</t>
  </si>
  <si>
    <t>Rendite Option 1: Tages-/Festgeld</t>
  </si>
  <si>
    <t>Rendite Option 2: Welt-ETF (MSCI World)</t>
  </si>
  <si>
    <t>Rendite Option 3: Rentenversicherung (nach Fondskosten)</t>
  </si>
  <si>
    <t>Rendite Option 4: Multi-Asset (60/40)</t>
  </si>
  <si>
    <t>B. Berechnungsergebnisse bei gewählten Parametern</t>
  </si>
  <si>
    <t>Kennzahl / Ergebnis</t>
  </si>
  <si>
    <t>Option 1: Festgeld</t>
  </si>
  <si>
    <t>Option 2: Welt-ETF</t>
  </si>
  <si>
    <t>Option 3: Rentenvers.</t>
  </si>
  <si>
    <t>Option 4: Multi-Asset</t>
  </si>
  <si>
    <t>Gesamte eigene Einzahlung</t>
  </si>
  <si>
    <t>Brutto-Endkapital vor Steuer</t>
  </si>
  <si>
    <t>Erwirtschafteter Gesamtertrag (Gewinn)</t>
  </si>
  <si>
    <t>Steuerfreier Gewinnanteil (Teilfreistellung)</t>
  </si>
  <si>
    <t>Geschätzte Steuer bei Einmalauszahlung</t>
  </si>
  <si>
    <t>Netto-Endkapital (Einmalauszahlung)</t>
  </si>
  <si>
    <t>Monatliche Netto-Rente (Kapitalverzehr über gewählte Jahre)</t>
  </si>
  <si>
    <t>Ewige Rente / Monatl. Zinsertrag (ohne Kapitalverzehr)</t>
  </si>
  <si>
    <t>Jährlicher Vermögensaufbau (Jahr 1 bis 15)</t>
  </si>
  <si>
    <t>Entwicklung der 4 Optionen basierend auf den Eingaben im Blatt 'Interaktiver Rechner' (Sparrate: ='Interaktiver Rechner'!$D$7 €/Monat)</t>
  </si>
  <si>
    <t>Jahr</t>
  </si>
  <si>
    <t>Einzahlungen p.a.</t>
  </si>
  <si>
    <t>Einzahlungen Kumuliert</t>
  </si>
  <si>
    <t>Opt 1: Festgeld
Stand Jahresende</t>
  </si>
  <si>
    <t>Opt 2: Welt-ETF
Stand Jahresende</t>
  </si>
  <si>
    <t>Opt 3: Rentenvers.
Stand Jahresende</t>
  </si>
  <si>
    <t>Opt 4: Multi-Asset
Stand Jahresende</t>
  </si>
  <si>
    <t>Steuerliche Behandlung bei Ansparung &amp; Auszahlung</t>
  </si>
  <si>
    <t>Rechtliche Grundlagen &amp; Vergleich: Einmalige Kapitalauszahlung vs. Monatliche Verrentung/Entnahme</t>
  </si>
  <si>
    <t>1. Gesetzliche Grundlagen für Privatanleger in Deutschland</t>
  </si>
  <si>
    <t>Abgeltungsteuer</t>
  </si>
  <si>
    <t>25 % zzgl. 5,5 % Solidaritätszuschlag = 26,375 % (zzgl. ggf. Kirchensteuer 8-9 %). Gilt für Zinsen, Dividenden und realisierte Kursgewinne.</t>
  </si>
  <si>
    <t>Sparer-Pauschbetrag</t>
  </si>
  <si>
    <t>1.000 € pro Person / 2.000 € bei Ehepaaren pro Jahr steuerfrei durch Freistellungsauftrag bei der Bank/Depot.</t>
  </si>
  <si>
    <t>Teilfreistellung (InvStG)</t>
  </si>
  <si>
    <t>Aktienfonds/ETFs (mind. 51% Aktien): 30 % aller Erträge und Gewinne sind steuerfrei! Bei Mischfonds (mind. 25% Aktien) sind 15 % steuerfrei.</t>
  </si>
  <si>
    <t>Vorabpauschale</t>
  </si>
  <si>
    <t>Jährliche Mindestbesteuerung thesaurierender Fonds nach Basisertrag (EZB-Zins), sofern das Depotjahr positiv verläuft. Wird bei späterem Verkauf voll angerechnet.</t>
  </si>
  <si>
    <t>2. Steuervergleich bei Auszahlung (Einmalbetrag vs. Monatliche Rente)</t>
  </si>
  <si>
    <t>Direkt-Depot ETF (Option 2)</t>
  </si>
  <si>
    <t>Rentenversicherung (Option 3)</t>
  </si>
  <si>
    <t>Festgeld / Zinssparen (Option 1)</t>
  </si>
  <si>
    <t>Multi-Asset Portfolio (Option 4)</t>
  </si>
  <si>
    <t>EINMALAUSZAHLUNG: Zinsbausteine jährlich versteuert, ETF-Gewinne beim Verkauf mit 15% TFS versteuert.
MONATLICHER ENTZUG: Entnahme zuerst aus dem Zins-/Cash-Topf, gezielter Verkauf von ETF-Anteilen zur Freibetragsoptimierung.</t>
  </si>
  <si>
    <t>3. Zusammenfassung &amp; Handlungsempfehlung je nach Zeithorizont</t>
  </si>
  <si>
    <t>5 Jahre (Kurzfristig)</t>
  </si>
  <si>
    <t>Fokus auf Sicherheit und Werterhalt. Empfehlung: Option 1 (Tages-/Festgeld) oder Option 4 mit hohem Zinsanteil. Aktienquote sollte wegen möglicher Kursrücksetzer gering gehalten werden.</t>
  </si>
  <si>
    <t>10 Jahre (Mittelfristig)</t>
  </si>
  <si>
    <t>Option 2 (Welt-ETF) oder Option 4 (Multi-Asset). Bei 10 Jahren Laufzeit überwiegen die Renditechancen von Aktien deutlich, Risiko durch zeitliche Streuung beherrschbar.</t>
  </si>
  <si>
    <t>15+ Jahre (Langfristig / Rente)</t>
  </si>
  <si>
    <t>Option 2 (Welt-ETF im Direkt-Depot) für maximale Rendite und Flexibilität ODER Option 3 (Fondsgebundene Rentenversicherung) für maximale Steuerbegünstigung im Alter und lebenslange Rentengarantie.</t>
  </si>
  <si>
    <t>EINMALAUSZAHLUNG / ENTZUG: Zinsen wurden bereits jährlich im Zuflussjahr versteuert. Bei Auszahlung fällt 
keinerlei Nachsteuer auf das Kapital an.</t>
  </si>
  <si>
    <t>EINMALAUSZAHLUNG: Gesamter Gewinn wird im Verkaufsjahr versteuert (abzgl. 30% TFS &amp; 1.000 € Freibetrag).
MONATLICHER ENTZUG: Bei monatlichen Teilverkäufen wird nur der Gewinnanteil der verkauften Tranche versteuert. 
Durch die Aufteilung über 15-20 Jahre kann jedes Jahr der Sparerpauschbetrag voll genutzt werden -&gt; Extrem steuergünstig!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</si>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</sst>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9" x14ac:knownFonts="1">
    <font>
      <sz val="11"/>
      <color theme="1"/>
      <name val="Calibri"/>
      <family val="2"/>
      <scheme val="minor"/>
    </font>
    <font>
      <b/>
      <sz val="15"/>
      <color rgb="FF1E293B"/>
      <name val="Segoe UI"/>
    </font>
    <font>
      <i/>
      <sz val="10"/>
      <color rgb="FF64748B"/>
      <name val="Segoe UI"/>
    </font>
    <font>
      <b/>
      <sz val="12"/>
      <color rgb="FF0F172A"/>
      <name val="Segoe UI"/>
    </font>
    <font>
      <b/>
      <sz val="10"/>
      <color rgb="FFFFFFFF"/>
      <name val="Segoe UI"/>
    </font>
    <font>
      <b/>
      <sz val="10"/>
      <color rgb="FF1E293B"/>
      <name val="Segoe UI"/>
    </font>
    <font>
      <sz val="10"/>
      <color rgb="FF1E293B"/>
      <name val="Segoe UI"/>
    </font>
    <font>
      <i/>
      <sz val="9"/>
      <color rgb="FF475569"/>
      <name val="Segoe UI"/>
    </font>
    <font>
      <b/>
      <sz val="11"/>
      <color rgb="FF0F172A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334155"/>
        <bgColor rgb="FF334155"/>
      </patternFill>
    </fill>
    <fill>
      <patternFill patternType="solid">
        <fgColor rgb="FF1E40AF"/>
        <bgColor rgb="FF1E40AF"/>
      </patternFill>
    </fill>
    <fill>
      <patternFill patternType="solid">
        <fgColor rgb="FFEFF6FF"/>
        <bgColor rgb="FFEFF6FF"/>
      </patternFill>
    </fill>
    <fill>
      <patternFill patternType="solid">
        <fgColor rgb="FFFEF3C7"/>
        <bgColor rgb="FFFEF3C7"/>
      </patternFill>
    </fill>
    <fill>
      <patternFill patternType="solid">
        <fgColor rgb="FF0F766E"/>
        <bgColor rgb="FF0F766E"/>
      </patternFill>
    </fill>
    <fill>
      <patternFill patternType="solid">
        <fgColor rgb="FFDCFCE7"/>
        <bgColor rgb="FFDCFCE7"/>
      </patternFill>
    </fill>
    <fill>
      <patternFill patternType="solid">
        <fgColor rgb="FFF0FDFA"/>
        <bgColor rgb="FFF0FDFA"/>
      </patternFill>
    </fill>
    <fill>
      <patternFill patternType="solid">
        <fgColor rgb="FF6D28D9"/>
        <bgColor rgb="FF6D28D9"/>
      </patternFill>
    </fill>
    <fill>
      <patternFill patternType="solid">
        <fgColor rgb="FFFAF5FF"/>
        <bgColor rgb="FFFAF5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40A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0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right" vertical="center"/>
    </xf>
    <xf numFmtId="3" fontId="6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right" vertical="center"/>
    </xf>
    <xf numFmtId="164" fontId="5" fillId="4" borderId="2" xfId="0" applyNumberFormat="1" applyFont="1" applyFill="1" applyBorder="1" applyAlignment="1">
      <alignment horizontal="right" vertical="center"/>
    </xf>
    <xf numFmtId="0" fontId="7" fillId="0" borderId="0" xfId="0" applyFont="1"/>
    <xf numFmtId="0" fontId="5" fillId="0" borderId="2" xfId="0" applyFont="1" applyBorder="1"/>
    <xf numFmtId="164" fontId="5" fillId="5" borderId="2" xfId="0" applyNumberFormat="1" applyFont="1" applyFill="1" applyBorder="1" applyAlignment="1">
      <alignment horizontal="right" vertical="center"/>
    </xf>
    <xf numFmtId="3" fontId="5" fillId="5" borderId="2" xfId="0" applyNumberFormat="1" applyFont="1" applyFill="1" applyBorder="1" applyAlignment="1">
      <alignment horizontal="right" vertical="center"/>
    </xf>
    <xf numFmtId="10" fontId="5" fillId="5" borderId="2" xfId="0" applyNumberFormat="1" applyFont="1" applyFill="1" applyBorder="1" applyAlignment="1">
      <alignment horizontal="right" vertical="center"/>
    </xf>
    <xf numFmtId="0" fontId="8" fillId="0" borderId="0" xfId="0" applyFont="1"/>
    <xf numFmtId="0" fontId="6" fillId="0" borderId="2" xfId="0" applyFont="1" applyBorder="1"/>
    <xf numFmtId="0" fontId="4" fillId="6" borderId="1" xfId="0" applyFont="1" applyFill="1" applyBorder="1" applyAlignment="1">
      <alignment horizontal="center" vertical="center" wrapText="1"/>
    </xf>
    <xf numFmtId="0" fontId="5" fillId="7" borderId="2" xfId="0" applyFont="1" applyFill="1" applyBorder="1"/>
    <xf numFmtId="164" fontId="5" fillId="7" borderId="2" xfId="0" applyNumberFormat="1" applyFont="1" applyFill="1" applyBorder="1" applyAlignment="1">
      <alignment horizontal="right" vertical="center"/>
    </xf>
    <xf numFmtId="0" fontId="5" fillId="8" borderId="2" xfId="0" applyFont="1" applyFill="1" applyBorder="1"/>
    <xf numFmtId="164" fontId="5" fillId="8" borderId="2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64" fontId="5" fillId="10" borderId="2" xfId="0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vertical="top"/>
    </xf>
    <xf numFmtId="0" fontId="1" fillId="0" borderId="0" xfId="0" applyFont="1"/>
    <xf numFmtId="0" fontId="0" fillId="0" borderId="0" xfId="0"/>
    <xf numFmtId="0" fontId="7" fillId="0" borderId="0" xfId="0" applyFont="1" applyAlignment="1">
      <alignment vertical="center"/>
    </xf>
    <xf numFmtId="0" fontId="6" fillId="0" borderId="2" xfId="0" applyFont="1" applyBorder="1" applyAlignment="1">
      <alignment vertical="top" wrapText="1"/>
    </xf>
    <xf numFmtId="0" fontId="0" fillId="0" borderId="2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4"/>
  <sheetViews>
    <sheetView topLeftCell="A8" workbookViewId="0">
      <selection activeCell="G29" sqref="G29"/>
    </sheetView>
  </sheetViews>
  <sheetFormatPr baseColWidth="10" defaultColWidth="8.9375" defaultRowHeight="14.35" x14ac:dyDescent="0.5"/>
  <cols>
    <col min="1" max="1" width="3" customWidth="1"/>
    <col min="2" max="2" width="20" customWidth="1"/>
    <col min="3" max="3" width="16" customWidth="1"/>
    <col min="4" max="4" width="29.29296875" customWidth="1"/>
    <col min="5" max="5" width="22" customWidth="1"/>
    <col min="6" max="6" width="31.05859375" customWidth="1"/>
    <col min="7" max="7" width="29.703125" customWidth="1"/>
    <col min="8" max="8" width="31.9375" customWidth="1"/>
    <col min="9" max="9" width="24" customWidth="1"/>
  </cols>
  <sheetData>
    <row r="2" spans="2:9" ht="22" x14ac:dyDescent="0.85">
      <c r="B2" s="29" t="s">
        <v>0</v>
      </c>
      <c r="C2" s="30"/>
      <c r="D2" s="30"/>
      <c r="E2" s="30"/>
      <c r="F2" s="30"/>
      <c r="G2" s="30"/>
      <c r="H2" s="30"/>
      <c r="I2" s="30"/>
    </row>
    <row r="3" spans="2:9" ht="15" x14ac:dyDescent="0.6">
      <c r="B3" s="1" t="s">
        <v>1</v>
      </c>
    </row>
    <row r="5" spans="2:9" ht="17.350000000000001" x14ac:dyDescent="0.65">
      <c r="B5" s="2" t="s">
        <v>2</v>
      </c>
    </row>
    <row r="6" spans="2:9" ht="30" x14ac:dyDescent="0.5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</row>
    <row r="7" spans="2:9" ht="45" x14ac:dyDescent="0.5">
      <c r="B7" s="4" t="s">
        <v>10</v>
      </c>
      <c r="C7" s="5">
        <v>2.5000000000000001E-2</v>
      </c>
      <c r="D7" s="6" t="s">
        <v>11</v>
      </c>
      <c r="E7" s="6" t="s">
        <v>12</v>
      </c>
      <c r="F7" s="7" t="s">
        <v>13</v>
      </c>
      <c r="G7" s="7" t="s">
        <v>14</v>
      </c>
      <c r="H7" s="7" t="s">
        <v>15</v>
      </c>
    </row>
    <row r="8" spans="2:9" ht="60" x14ac:dyDescent="0.5">
      <c r="B8" s="4" t="s">
        <v>16</v>
      </c>
      <c r="C8" s="5">
        <v>7.0000000000000007E-2</v>
      </c>
      <c r="D8" s="6" t="s">
        <v>17</v>
      </c>
      <c r="E8" s="6" t="s">
        <v>18</v>
      </c>
      <c r="F8" s="7" t="s">
        <v>19</v>
      </c>
      <c r="G8" s="7" t="s">
        <v>20</v>
      </c>
      <c r="H8" s="7" t="s">
        <v>21</v>
      </c>
    </row>
    <row r="9" spans="2:9" ht="60" x14ac:dyDescent="0.5">
      <c r="B9" s="4" t="s">
        <v>22</v>
      </c>
      <c r="C9" s="5">
        <v>5.3999999999999999E-2</v>
      </c>
      <c r="D9" s="6" t="s">
        <v>23</v>
      </c>
      <c r="E9" s="6" t="s">
        <v>24</v>
      </c>
      <c r="F9" s="7" t="s">
        <v>25</v>
      </c>
      <c r="G9" s="7" t="s">
        <v>26</v>
      </c>
      <c r="H9" s="7" t="s">
        <v>27</v>
      </c>
    </row>
    <row r="10" spans="2:9" ht="60" x14ac:dyDescent="0.5">
      <c r="B10" s="4" t="s">
        <v>28</v>
      </c>
      <c r="C10" s="5">
        <v>4.8000000000000001E-2</v>
      </c>
      <c r="D10" s="6" t="s">
        <v>29</v>
      </c>
      <c r="E10" s="6" t="s">
        <v>30</v>
      </c>
      <c r="F10" s="7" t="s">
        <v>31</v>
      </c>
      <c r="G10" s="7" t="s">
        <v>32</v>
      </c>
      <c r="H10" s="7" t="s">
        <v>33</v>
      </c>
    </row>
    <row r="12" spans="2:9" ht="17.350000000000001" x14ac:dyDescent="0.65">
      <c r="B12" s="2" t="s">
        <v>34</v>
      </c>
    </row>
    <row r="13" spans="2:9" ht="15" x14ac:dyDescent="0.6">
      <c r="B13" s="1" t="s">
        <v>35</v>
      </c>
    </row>
    <row r="15" spans="2:9" ht="30" x14ac:dyDescent="0.5">
      <c r="B15" s="8" t="s">
        <v>36</v>
      </c>
      <c r="C15" s="8" t="s">
        <v>37</v>
      </c>
      <c r="D15" s="8" t="s">
        <v>38</v>
      </c>
      <c r="E15" s="8" t="s">
        <v>39</v>
      </c>
      <c r="F15" s="8" t="s">
        <v>40</v>
      </c>
      <c r="G15" s="8" t="s">
        <v>41</v>
      </c>
      <c r="H15" s="8" t="s">
        <v>42</v>
      </c>
      <c r="I15" s="8" t="s">
        <v>43</v>
      </c>
    </row>
    <row r="16" spans="2:9" ht="15" x14ac:dyDescent="0.5">
      <c r="B16" s="9">
        <v>25</v>
      </c>
      <c r="C16" s="10">
        <v>5</v>
      </c>
      <c r="D16" s="11">
        <f t="shared" ref="D16:D30" si="0">B16*C16*12</f>
        <v>1500</v>
      </c>
      <c r="E16" s="11">
        <f t="shared" ref="E16:E30" si="1">-FV(0.025/12, C16*12, B16, 0, 1)</f>
        <v>1599.3384905900239</v>
      </c>
      <c r="F16" s="11">
        <f t="shared" ref="F16:F30" si="2">-FV(0.07/12, C16*12, B16, 0, 1)</f>
        <v>1800.2631726931629</v>
      </c>
      <c r="G16" s="12">
        <f t="shared" ref="G16:G30" si="3">F16-MAX(0, (F16-D16)*0.7*0.26375)</f>
        <v>1744.8270844346878</v>
      </c>
      <c r="H16" s="11">
        <f t="shared" ref="H16:H30" si="4">-FV(0.054/12, C16*12, B16, 0, 1) - IF(C16&gt;=12, (-FV(0.054/12, C16*12, B16, 0, 1)-D16)*0.85*0.5*0.3, (-FV(0.054/12, C16*12, B16, 0, 1)-D16)*0.85*0.26375)</f>
        <v>1674.8273540960099</v>
      </c>
      <c r="I16" s="11">
        <f t="shared" ref="I16:I30" si="5">-FV(0.048/12, C16*12, B16, 0, 1) - MAX(0, (-FV(0.048/12, C16*12, B16, 0, 1)-D16)*0.235)</f>
        <v>1651.6769400732535</v>
      </c>
    </row>
    <row r="17" spans="2:9" ht="15" x14ac:dyDescent="0.5">
      <c r="B17" s="9">
        <v>25</v>
      </c>
      <c r="C17" s="10">
        <v>10</v>
      </c>
      <c r="D17" s="11">
        <f t="shared" si="0"/>
        <v>3000</v>
      </c>
      <c r="E17" s="11">
        <f t="shared" si="1"/>
        <v>3411.3907946921295</v>
      </c>
      <c r="F17" s="11">
        <f t="shared" si="2"/>
        <v>4352.3617202558116</v>
      </c>
      <c r="G17" s="12">
        <f t="shared" si="3"/>
        <v>4102.6819376535823</v>
      </c>
      <c r="H17" s="11">
        <f t="shared" si="4"/>
        <v>3763.4947030589874</v>
      </c>
      <c r="I17" s="11">
        <f t="shared" si="5"/>
        <v>3654.9640609382354</v>
      </c>
    </row>
    <row r="18" spans="2:9" ht="15" x14ac:dyDescent="0.5">
      <c r="B18" s="9">
        <v>25</v>
      </c>
      <c r="C18" s="10">
        <v>15</v>
      </c>
      <c r="D18" s="11">
        <f t="shared" si="0"/>
        <v>4500</v>
      </c>
      <c r="E18" s="11">
        <f t="shared" si="1"/>
        <v>5464.4480881424925</v>
      </c>
      <c r="F18" s="11">
        <f t="shared" si="2"/>
        <v>7970.2810863047998</v>
      </c>
      <c r="G18" s="12">
        <f t="shared" si="3"/>
        <v>7329.5804407457763</v>
      </c>
      <c r="H18" s="11">
        <f t="shared" si="4"/>
        <v>6629.9874949249142</v>
      </c>
      <c r="I18" s="11">
        <f t="shared" si="5"/>
        <v>6105.0213946298627</v>
      </c>
    </row>
    <row r="19" spans="2:9" ht="15" x14ac:dyDescent="0.5">
      <c r="B19" s="9">
        <v>50</v>
      </c>
      <c r="C19" s="10">
        <v>5</v>
      </c>
      <c r="D19" s="11">
        <f t="shared" si="0"/>
        <v>3000</v>
      </c>
      <c r="E19" s="11">
        <f t="shared" si="1"/>
        <v>3198.6769811800477</v>
      </c>
      <c r="F19" s="11">
        <f t="shared" si="2"/>
        <v>3600.5263453863258</v>
      </c>
      <c r="G19" s="12">
        <f t="shared" si="3"/>
        <v>3489.6541688693756</v>
      </c>
      <c r="H19" s="11">
        <f t="shared" si="4"/>
        <v>3349.6547081920198</v>
      </c>
      <c r="I19" s="11">
        <f t="shared" si="5"/>
        <v>3303.353880146507</v>
      </c>
    </row>
    <row r="20" spans="2:9" ht="15" x14ac:dyDescent="0.5">
      <c r="B20" s="9">
        <v>50</v>
      </c>
      <c r="C20" s="10">
        <v>10</v>
      </c>
      <c r="D20" s="11">
        <f t="shared" si="0"/>
        <v>6000</v>
      </c>
      <c r="E20" s="11">
        <f t="shared" si="1"/>
        <v>6822.781589384259</v>
      </c>
      <c r="F20" s="11">
        <f t="shared" si="2"/>
        <v>8704.7234405116233</v>
      </c>
      <c r="G20" s="12">
        <f t="shared" si="3"/>
        <v>8205.3638753071646</v>
      </c>
      <c r="H20" s="11">
        <f t="shared" si="4"/>
        <v>7526.9894061179748</v>
      </c>
      <c r="I20" s="11">
        <f t="shared" si="5"/>
        <v>7309.9281218764709</v>
      </c>
    </row>
    <row r="21" spans="2:9" ht="15" x14ac:dyDescent="0.5">
      <c r="B21" s="9">
        <v>50</v>
      </c>
      <c r="C21" s="10">
        <v>15</v>
      </c>
      <c r="D21" s="11">
        <f t="shared" si="0"/>
        <v>9000</v>
      </c>
      <c r="E21" s="11">
        <f t="shared" si="1"/>
        <v>10928.896176284985</v>
      </c>
      <c r="F21" s="11">
        <f t="shared" si="2"/>
        <v>15940.5621726096</v>
      </c>
      <c r="G21" s="12">
        <f t="shared" si="3"/>
        <v>14659.160881491553</v>
      </c>
      <c r="H21" s="11">
        <f t="shared" si="4"/>
        <v>13259.974989849828</v>
      </c>
      <c r="I21" s="11">
        <f t="shared" si="5"/>
        <v>12210.042789259725</v>
      </c>
    </row>
    <row r="22" spans="2:9" ht="15" x14ac:dyDescent="0.5">
      <c r="B22" s="9">
        <v>75</v>
      </c>
      <c r="C22" s="10">
        <v>5</v>
      </c>
      <c r="D22" s="11">
        <f t="shared" si="0"/>
        <v>4500</v>
      </c>
      <c r="E22" s="11">
        <f t="shared" si="1"/>
        <v>4798.0154717700716</v>
      </c>
      <c r="F22" s="11">
        <f t="shared" si="2"/>
        <v>5400.7895180794885</v>
      </c>
      <c r="G22" s="12">
        <f t="shared" si="3"/>
        <v>5234.4812533040631</v>
      </c>
      <c r="H22" s="11">
        <f t="shared" si="4"/>
        <v>5024.4820622880288</v>
      </c>
      <c r="I22" s="11">
        <f t="shared" si="5"/>
        <v>4955.0308202197612</v>
      </c>
    </row>
    <row r="23" spans="2:9" ht="15" x14ac:dyDescent="0.5">
      <c r="B23" s="9">
        <v>75</v>
      </c>
      <c r="C23" s="10">
        <v>10</v>
      </c>
      <c r="D23" s="11">
        <f t="shared" si="0"/>
        <v>9000</v>
      </c>
      <c r="E23" s="11">
        <f t="shared" si="1"/>
        <v>10234.172384076388</v>
      </c>
      <c r="F23" s="11">
        <f t="shared" si="2"/>
        <v>13057.085160767434</v>
      </c>
      <c r="G23" s="12">
        <f t="shared" si="3"/>
        <v>12308.045812960747</v>
      </c>
      <c r="H23" s="11">
        <f t="shared" si="4"/>
        <v>11290.484109176961</v>
      </c>
      <c r="I23" s="11">
        <f t="shared" si="5"/>
        <v>10964.892182814707</v>
      </c>
    </row>
    <row r="24" spans="2:9" ht="15" x14ac:dyDescent="0.5">
      <c r="B24" s="9">
        <v>75</v>
      </c>
      <c r="C24" s="10">
        <v>15</v>
      </c>
      <c r="D24" s="11">
        <f t="shared" si="0"/>
        <v>13500</v>
      </c>
      <c r="E24" s="11">
        <f t="shared" si="1"/>
        <v>16393.344264427476</v>
      </c>
      <c r="F24" s="11">
        <f t="shared" si="2"/>
        <v>23910.843258914399</v>
      </c>
      <c r="G24" s="12">
        <f t="shared" si="3"/>
        <v>21988.741322237329</v>
      </c>
      <c r="H24" s="11">
        <f t="shared" si="4"/>
        <v>19889.962484774744</v>
      </c>
      <c r="I24" s="11">
        <f t="shared" si="5"/>
        <v>18315.06418388959</v>
      </c>
    </row>
    <row r="25" spans="2:9" ht="15" x14ac:dyDescent="0.5">
      <c r="B25" s="9">
        <v>100</v>
      </c>
      <c r="C25" s="10">
        <v>5</v>
      </c>
      <c r="D25" s="11">
        <f t="shared" si="0"/>
        <v>6000</v>
      </c>
      <c r="E25" s="11">
        <f t="shared" si="1"/>
        <v>6397.3539623600955</v>
      </c>
      <c r="F25" s="11">
        <f t="shared" si="2"/>
        <v>7201.0526907726517</v>
      </c>
      <c r="G25" s="12">
        <f t="shared" si="3"/>
        <v>6979.3083377387511</v>
      </c>
      <c r="H25" s="11">
        <f t="shared" si="4"/>
        <v>6699.3094163840397</v>
      </c>
      <c r="I25" s="11">
        <f t="shared" si="5"/>
        <v>6606.707760293014</v>
      </c>
    </row>
    <row r="26" spans="2:9" ht="15" x14ac:dyDescent="0.5">
      <c r="B26" s="9">
        <v>100</v>
      </c>
      <c r="C26" s="10">
        <v>10</v>
      </c>
      <c r="D26" s="11">
        <f t="shared" si="0"/>
        <v>12000</v>
      </c>
      <c r="E26" s="11">
        <f t="shared" si="1"/>
        <v>13645.563178768518</v>
      </c>
      <c r="F26" s="11">
        <f t="shared" si="2"/>
        <v>17409.446881023247</v>
      </c>
      <c r="G26" s="12">
        <f t="shared" si="3"/>
        <v>16410.727750614329</v>
      </c>
      <c r="H26" s="11">
        <f t="shared" si="4"/>
        <v>15053.97881223595</v>
      </c>
      <c r="I26" s="11">
        <f t="shared" si="5"/>
        <v>14619.856243752942</v>
      </c>
    </row>
    <row r="27" spans="2:9" ht="15" x14ac:dyDescent="0.5">
      <c r="B27" s="9">
        <v>100</v>
      </c>
      <c r="C27" s="10">
        <v>15</v>
      </c>
      <c r="D27" s="11">
        <f t="shared" si="0"/>
        <v>18000</v>
      </c>
      <c r="E27" s="11">
        <f t="shared" si="1"/>
        <v>21857.79235256997</v>
      </c>
      <c r="F27" s="11">
        <f t="shared" si="2"/>
        <v>31881.124345219199</v>
      </c>
      <c r="G27" s="12">
        <f t="shared" si="3"/>
        <v>29318.321762983105</v>
      </c>
      <c r="H27" s="11">
        <f t="shared" si="4"/>
        <v>26519.949979699657</v>
      </c>
      <c r="I27" s="11">
        <f t="shared" si="5"/>
        <v>24420.085578519451</v>
      </c>
    </row>
    <row r="28" spans="2:9" ht="15" x14ac:dyDescent="0.5">
      <c r="B28" s="9">
        <v>150</v>
      </c>
      <c r="C28" s="10">
        <v>5</v>
      </c>
      <c r="D28" s="11">
        <f t="shared" si="0"/>
        <v>9000</v>
      </c>
      <c r="E28" s="11">
        <f t="shared" si="1"/>
        <v>9596.0309435401432</v>
      </c>
      <c r="F28" s="11">
        <f t="shared" si="2"/>
        <v>10801.579036158977</v>
      </c>
      <c r="G28" s="12">
        <f t="shared" si="3"/>
        <v>10468.962506608126</v>
      </c>
      <c r="H28" s="11">
        <f t="shared" si="4"/>
        <v>10048.964124576058</v>
      </c>
      <c r="I28" s="11">
        <f t="shared" si="5"/>
        <v>9910.0616404395223</v>
      </c>
    </row>
    <row r="29" spans="2:9" ht="15" x14ac:dyDescent="0.5">
      <c r="B29" s="9">
        <v>150</v>
      </c>
      <c r="C29" s="10">
        <v>10</v>
      </c>
      <c r="D29" s="11">
        <f t="shared" si="0"/>
        <v>18000</v>
      </c>
      <c r="E29" s="11">
        <f t="shared" si="1"/>
        <v>20468.344768152776</v>
      </c>
      <c r="F29" s="11">
        <f t="shared" si="2"/>
        <v>26114.170321534868</v>
      </c>
      <c r="G29" s="12">
        <f t="shared" si="3"/>
        <v>24616.091625921494</v>
      </c>
      <c r="H29" s="11">
        <f t="shared" si="4"/>
        <v>22580.968218353923</v>
      </c>
      <c r="I29" s="11">
        <f t="shared" si="5"/>
        <v>21929.784365629414</v>
      </c>
    </row>
    <row r="30" spans="2:9" ht="15" x14ac:dyDescent="0.5">
      <c r="B30" s="9">
        <v>150</v>
      </c>
      <c r="C30" s="10">
        <v>15</v>
      </c>
      <c r="D30" s="11">
        <f t="shared" si="0"/>
        <v>27000</v>
      </c>
      <c r="E30" s="11">
        <f t="shared" si="1"/>
        <v>32786.688528854953</v>
      </c>
      <c r="F30" s="11">
        <f t="shared" si="2"/>
        <v>47821.686517828799</v>
      </c>
      <c r="G30" s="12">
        <f t="shared" si="3"/>
        <v>43977.482644474658</v>
      </c>
      <c r="H30" s="11">
        <f t="shared" si="4"/>
        <v>39779.924969549487</v>
      </c>
      <c r="I30" s="11">
        <f t="shared" si="5"/>
        <v>36630.12836777918</v>
      </c>
    </row>
    <row r="32" spans="2:9" ht="14.7" x14ac:dyDescent="0.55000000000000004">
      <c r="B32" s="13" t="s">
        <v>44</v>
      </c>
    </row>
    <row r="33" spans="2:2" ht="14.7" x14ac:dyDescent="0.55000000000000004">
      <c r="B33" s="13" t="s">
        <v>45</v>
      </c>
    </row>
    <row r="34" spans="2:2" ht="14.7" x14ac:dyDescent="0.55000000000000004">
      <c r="B34" s="13" t="s">
        <v>46</v>
      </c>
    </row>
  </sheetData>
  <mergeCells count="1"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0"/>
  <sheetViews>
    <sheetView workbookViewId="0">
      <selection activeCell="B31" sqref="B31"/>
    </sheetView>
  </sheetViews>
  <sheetFormatPr baseColWidth="10" defaultColWidth="8.9375" defaultRowHeight="14.35" x14ac:dyDescent="0.5"/>
  <cols>
    <col min="1" max="1" width="3" customWidth="1"/>
    <col min="2" max="2" width="54.64453125" customWidth="1"/>
    <col min="3" max="6" width="22" customWidth="1"/>
    <col min="7" max="8" width="20" customWidth="1"/>
  </cols>
  <sheetData>
    <row r="2" spans="2:8" ht="22" x14ac:dyDescent="0.85">
      <c r="B2" s="29" t="s">
        <v>47</v>
      </c>
      <c r="C2" s="30"/>
      <c r="D2" s="30"/>
      <c r="E2" s="30"/>
      <c r="F2" s="30"/>
      <c r="G2" s="30"/>
      <c r="H2" s="30"/>
    </row>
    <row r="3" spans="2:8" ht="15" x14ac:dyDescent="0.6">
      <c r="B3" s="1" t="s">
        <v>48</v>
      </c>
    </row>
    <row r="5" spans="2:8" ht="17.350000000000001" x14ac:dyDescent="0.65">
      <c r="B5" s="2" t="s">
        <v>49</v>
      </c>
    </row>
    <row r="7" spans="2:8" ht="15" x14ac:dyDescent="0.6">
      <c r="B7" s="14" t="s">
        <v>50</v>
      </c>
      <c r="D7" s="15">
        <v>100</v>
      </c>
      <c r="E7" s="31" t="s">
        <v>51</v>
      </c>
      <c r="F7" s="30"/>
      <c r="G7" s="30"/>
      <c r="H7" s="30"/>
    </row>
    <row r="8" spans="2:8" ht="15" x14ac:dyDescent="0.6">
      <c r="B8" s="14" t="s">
        <v>52</v>
      </c>
      <c r="D8" s="16">
        <v>15</v>
      </c>
      <c r="E8" s="31" t="s">
        <v>53</v>
      </c>
      <c r="F8" s="30"/>
      <c r="G8" s="30"/>
      <c r="H8" s="30"/>
    </row>
    <row r="9" spans="2:8" ht="15" x14ac:dyDescent="0.6">
      <c r="B9" s="14" t="s">
        <v>54</v>
      </c>
      <c r="D9" s="15">
        <v>1000</v>
      </c>
      <c r="E9" s="31" t="s">
        <v>55</v>
      </c>
      <c r="F9" s="30"/>
      <c r="G9" s="30"/>
      <c r="H9" s="30"/>
    </row>
    <row r="10" spans="2:8" ht="15" x14ac:dyDescent="0.6">
      <c r="B10" s="14" t="s">
        <v>56</v>
      </c>
      <c r="D10" s="17">
        <v>0.26374999999999998</v>
      </c>
      <c r="E10" s="31" t="s">
        <v>57</v>
      </c>
      <c r="F10" s="30"/>
      <c r="G10" s="30"/>
      <c r="H10" s="30"/>
    </row>
    <row r="11" spans="2:8" ht="15" x14ac:dyDescent="0.6">
      <c r="B11" s="14" t="s">
        <v>58</v>
      </c>
      <c r="D11" s="17">
        <v>0.3</v>
      </c>
      <c r="E11" s="31" t="s">
        <v>59</v>
      </c>
      <c r="F11" s="30"/>
      <c r="G11" s="30"/>
      <c r="H11" s="30"/>
    </row>
    <row r="12" spans="2:8" ht="15" x14ac:dyDescent="0.6">
      <c r="B12" s="14" t="s">
        <v>60</v>
      </c>
      <c r="D12" s="16">
        <v>20</v>
      </c>
      <c r="E12" s="31" t="s">
        <v>61</v>
      </c>
      <c r="F12" s="30"/>
      <c r="G12" s="30"/>
      <c r="H12" s="30"/>
    </row>
    <row r="13" spans="2:8" ht="15" x14ac:dyDescent="0.6">
      <c r="B13" s="14" t="s">
        <v>62</v>
      </c>
      <c r="D13" s="17">
        <v>3.5000000000000003E-2</v>
      </c>
      <c r="E13" s="31" t="s">
        <v>63</v>
      </c>
      <c r="F13" s="30"/>
      <c r="G13" s="30"/>
      <c r="H13" s="30"/>
    </row>
    <row r="15" spans="2:8" ht="16.350000000000001" x14ac:dyDescent="0.65">
      <c r="B15" s="18" t="s">
        <v>64</v>
      </c>
    </row>
    <row r="16" spans="2:8" ht="15" x14ac:dyDescent="0.6">
      <c r="B16" s="19" t="s">
        <v>65</v>
      </c>
      <c r="D16" s="17">
        <v>2.5000000000000001E-2</v>
      </c>
    </row>
    <row r="17" spans="2:6" ht="15" x14ac:dyDescent="0.6">
      <c r="B17" s="19" t="s">
        <v>66</v>
      </c>
      <c r="D17" s="17">
        <v>7.0000000000000007E-2</v>
      </c>
    </row>
    <row r="18" spans="2:6" ht="15" x14ac:dyDescent="0.6">
      <c r="B18" s="19" t="s">
        <v>67</v>
      </c>
      <c r="D18" s="17">
        <v>5.3999999999999999E-2</v>
      </c>
    </row>
    <row r="19" spans="2:6" ht="15" x14ac:dyDescent="0.6">
      <c r="B19" s="19" t="s">
        <v>68</v>
      </c>
      <c r="D19" s="17">
        <v>4.8000000000000001E-2</v>
      </c>
    </row>
    <row r="21" spans="2:6" ht="17.350000000000001" x14ac:dyDescent="0.65">
      <c r="B21" s="2" t="s">
        <v>69</v>
      </c>
    </row>
    <row r="22" spans="2:6" ht="15" x14ac:dyDescent="0.5">
      <c r="B22" s="20" t="s">
        <v>70</v>
      </c>
      <c r="C22" s="20" t="s">
        <v>71</v>
      </c>
      <c r="D22" s="20" t="s">
        <v>72</v>
      </c>
      <c r="E22" s="20" t="s">
        <v>73</v>
      </c>
      <c r="F22" s="20" t="s">
        <v>74</v>
      </c>
    </row>
    <row r="23" spans="2:6" ht="15" x14ac:dyDescent="0.6">
      <c r="B23" s="19" t="s">
        <v>75</v>
      </c>
      <c r="C23" s="11">
        <f>$D$7*$D$8*12</f>
        <v>18000</v>
      </c>
      <c r="D23" s="11">
        <f>$D$7*$D$8*12</f>
        <v>18000</v>
      </c>
      <c r="E23" s="11">
        <f>$D$7*$D$8*12</f>
        <v>18000</v>
      </c>
      <c r="F23" s="11">
        <f>$D$7*$D$8*12</f>
        <v>18000</v>
      </c>
    </row>
    <row r="24" spans="2:6" ht="15" x14ac:dyDescent="0.6">
      <c r="B24" s="14" t="s">
        <v>76</v>
      </c>
      <c r="C24" s="9">
        <f>-FV(D16/12, $D$8*12, $D$7, 0, 1)</f>
        <v>21857.79235256997</v>
      </c>
      <c r="D24" s="9">
        <f>-FV(D17/12, $D$8*12, $D$7, 0, 1)</f>
        <v>31881.124345219199</v>
      </c>
      <c r="E24" s="9">
        <f>-FV(D18/12, $D$8*12, $D$7, 0, 1)</f>
        <v>27764.985650085568</v>
      </c>
      <c r="F24" s="9">
        <f>-FV(D19/12, $D$8*12, $D$7, 0, 1)</f>
        <v>26392.268730090786</v>
      </c>
    </row>
    <row r="25" spans="2:6" ht="15" x14ac:dyDescent="0.6">
      <c r="B25" s="19" t="s">
        <v>77</v>
      </c>
      <c r="C25" s="11">
        <f>C24-C23</f>
        <v>3857.7923525699698</v>
      </c>
      <c r="D25" s="11">
        <f>D24-D23</f>
        <v>13881.124345219199</v>
      </c>
      <c r="E25" s="11">
        <f>E24-E23</f>
        <v>9764.9856500855676</v>
      </c>
      <c r="F25" s="11">
        <f>F24-F23</f>
        <v>8392.2687300907855</v>
      </c>
    </row>
    <row r="26" spans="2:6" ht="15" x14ac:dyDescent="0.6">
      <c r="B26" s="19" t="s">
        <v>78</v>
      </c>
      <c r="C26" s="11">
        <f>0</f>
        <v>0</v>
      </c>
      <c r="D26" s="11">
        <f>D25*0.3</f>
        <v>4164.3373035657596</v>
      </c>
      <c r="E26" s="11">
        <f>E25*0.15</f>
        <v>1464.7478475128351</v>
      </c>
      <c r="F26" s="11">
        <f>F25*0.15*0.6</f>
        <v>755.30418570817062</v>
      </c>
    </row>
    <row r="27" spans="2:6" ht="15" x14ac:dyDescent="0.6">
      <c r="B27" s="19" t="s">
        <v>79</v>
      </c>
      <c r="C27" s="11">
        <f>0</f>
        <v>0</v>
      </c>
      <c r="D27" s="11">
        <f>MAX(0, (D25-D26)*$D$10)</f>
        <v>2562.8025822360942</v>
      </c>
      <c r="E27" s="11">
        <f>IF($D$8&gt;=12, (E25-E26)*0.5*$D$11, (E25-E26)*$D$10)</f>
        <v>1245.0356703859097</v>
      </c>
      <c r="F27" s="11">
        <f>MAX(0, (F25-F26)*$D$10)</f>
        <v>2014.2493985809144</v>
      </c>
    </row>
    <row r="28" spans="2:6" ht="15" x14ac:dyDescent="0.6">
      <c r="B28" s="21" t="s">
        <v>80</v>
      </c>
      <c r="C28" s="22">
        <f>C24-C27</f>
        <v>21857.79235256997</v>
      </c>
      <c r="D28" s="22">
        <f>D24-D27</f>
        <v>29318.321762983105</v>
      </c>
      <c r="E28" s="22">
        <f>E24-E27</f>
        <v>26519.949979699657</v>
      </c>
      <c r="F28" s="22">
        <f>F24-F27</f>
        <v>24378.01933150987</v>
      </c>
    </row>
    <row r="29" spans="2:6" ht="15" x14ac:dyDescent="0.6">
      <c r="B29" s="23" t="s">
        <v>81</v>
      </c>
      <c r="C29" s="24">
        <f>-PMT($D$13/12, $D$12*12, C28, 0, 1)</f>
        <v>126.39773083702029</v>
      </c>
      <c r="D29" s="24">
        <f>-PMT($D$13/12, $D$12*12, D28, 0, 1)</f>
        <v>169.53996465040899</v>
      </c>
      <c r="E29" s="24">
        <f>-PMT($D$13/12, $D$12*12, E28, 0, 1)</f>
        <v>153.35773372150251</v>
      </c>
      <c r="F29" s="24">
        <f>-PMT($D$13/12, $D$12*12, F28, 0, 1)</f>
        <v>140.97152521634095</v>
      </c>
    </row>
    <row r="30" spans="2:6" ht="15" x14ac:dyDescent="0.6">
      <c r="B30" s="19" t="s">
        <v>82</v>
      </c>
      <c r="C30" s="11">
        <f>C28*($D$13/12)</f>
        <v>63.751894361662416</v>
      </c>
      <c r="D30" s="11">
        <f>D28*($D$13/12)</f>
        <v>85.511771808700729</v>
      </c>
      <c r="E30" s="11">
        <f>E28*($D$13/12)</f>
        <v>77.349854107457332</v>
      </c>
      <c r="F30" s="11">
        <f>F28*($D$13/12)</f>
        <v>71.102556383570459</v>
      </c>
    </row>
  </sheetData>
  <mergeCells count="8">
    <mergeCell ref="E13:H13"/>
    <mergeCell ref="E9:H9"/>
    <mergeCell ref="E8:H8"/>
    <mergeCell ref="E12:H12"/>
    <mergeCell ref="B2:H2"/>
    <mergeCell ref="E7:H7"/>
    <mergeCell ref="E11:H11"/>
    <mergeCell ref="E10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20"/>
  <sheetViews>
    <sheetView workbookViewId="0"/>
  </sheetViews>
  <sheetFormatPr baseColWidth="10" defaultColWidth="8.9375" defaultRowHeight="14.35" x14ac:dyDescent="0.5"/>
  <cols>
    <col min="1" max="1" width="3" customWidth="1"/>
    <col min="2" max="2" width="12" customWidth="1"/>
    <col min="3" max="3" width="20" customWidth="1"/>
    <col min="4" max="8" width="24" customWidth="1"/>
  </cols>
  <sheetData>
    <row r="2" spans="2:9" ht="22" x14ac:dyDescent="0.85">
      <c r="B2" s="29" t="s">
        <v>83</v>
      </c>
      <c r="C2" s="30"/>
      <c r="D2" s="30"/>
      <c r="E2" s="30"/>
      <c r="F2" s="30"/>
      <c r="G2" s="30"/>
      <c r="H2" s="30"/>
      <c r="I2" s="30"/>
    </row>
    <row r="3" spans="2:9" ht="15" x14ac:dyDescent="0.6">
      <c r="B3" s="1" t="s">
        <v>84</v>
      </c>
    </row>
    <row r="5" spans="2:9" ht="30" x14ac:dyDescent="0.5">
      <c r="B5" s="25" t="s">
        <v>85</v>
      </c>
      <c r="C5" s="25" t="s">
        <v>86</v>
      </c>
      <c r="D5" s="25" t="s">
        <v>87</v>
      </c>
      <c r="E5" s="25" t="s">
        <v>88</v>
      </c>
      <c r="F5" s="25" t="s">
        <v>89</v>
      </c>
      <c r="G5" s="25" t="s">
        <v>90</v>
      </c>
      <c r="H5" s="25" t="s">
        <v>91</v>
      </c>
    </row>
    <row r="6" spans="2:9" ht="15" x14ac:dyDescent="0.5">
      <c r="B6" s="26">
        <v>1</v>
      </c>
      <c r="C6" s="11">
        <f>'Interaktiver Rechner'!$D$7*12</f>
        <v>1200</v>
      </c>
      <c r="D6" s="11">
        <f t="shared" ref="D6:D20" si="0">B6*C6</f>
        <v>1200</v>
      </c>
      <c r="E6" s="11">
        <f>-FV('Interaktiver Rechner'!$D$16/12, B6*12, 'Interaktiver Rechner'!$D$7, 0, 1)</f>
        <v>1216.3747808962635</v>
      </c>
      <c r="F6" s="27">
        <f>-FV('Interaktiver Rechner'!$D$17/12, B6*12, 'Interaktiver Rechner'!$D$7, 0, 1)</f>
        <v>1246.4875370496675</v>
      </c>
      <c r="G6" s="11">
        <f>-FV('Interaktiver Rechner'!$D$18/12, B6*12, 'Interaktiver Rechner'!$D$7, 0, 1)</f>
        <v>1235.6857185305935</v>
      </c>
      <c r="H6" s="11">
        <f>-FV('Interaktiver Rechner'!$D$19/12, B6*12, 'Interaktiver Rechner'!$D$7, 0, 1)</f>
        <v>1231.6622091236293</v>
      </c>
    </row>
    <row r="7" spans="2:9" ht="15" x14ac:dyDescent="0.5">
      <c r="B7" s="26">
        <v>2</v>
      </c>
      <c r="C7" s="11">
        <f>'Interaktiver Rechner'!$D$7*12</f>
        <v>1200</v>
      </c>
      <c r="D7" s="11">
        <f t="shared" si="0"/>
        <v>2400</v>
      </c>
      <c r="E7" s="11">
        <f>-FV('Interaktiver Rechner'!$D$16/12, B7*12, 'Interaktiver Rechner'!$D$7, 0, 1)</f>
        <v>2463.5098031147845</v>
      </c>
      <c r="F7" s="27">
        <f>-FV('Interaktiver Rechner'!$D$17/12, B7*12, 'Interaktiver Rechner'!$D$7, 0, 1)</f>
        <v>2583.0837589389466</v>
      </c>
      <c r="G7" s="11">
        <f>-FV('Interaktiver Rechner'!$D$18/12, B7*12, 'Interaktiver Rechner'!$D$7, 0, 1)</f>
        <v>2539.7749848701615</v>
      </c>
      <c r="H7" s="11">
        <f>-FV('Interaktiver Rechner'!$D$19/12, B7*12, 'Interaktiver Rechner'!$D$7, 0, 1)</f>
        <v>2523.7623384617323</v>
      </c>
    </row>
    <row r="8" spans="2:9" ht="15" x14ac:dyDescent="0.5">
      <c r="B8" s="26">
        <v>3</v>
      </c>
      <c r="C8" s="11">
        <f>'Interaktiver Rechner'!$D$7*12</f>
        <v>1200</v>
      </c>
      <c r="D8" s="11">
        <f t="shared" si="0"/>
        <v>3600</v>
      </c>
      <c r="E8" s="11">
        <f>-FV('Interaktiver Rechner'!$D$16/12, B8*12, 'Interaktiver Rechner'!$D$7, 0, 1)</f>
        <v>3742.1829456950336</v>
      </c>
      <c r="F8" s="27">
        <f>-FV('Interaktiver Rechner'!$D$17/12, B8*12, 'Interaktiver Rechner'!$D$7, 0, 1)</f>
        <v>4016.3026297807405</v>
      </c>
      <c r="G8" s="11">
        <f>-FV('Interaktiver Rechner'!$D$18/12, B8*12, 'Interaktiver Rechner'!$D$7, 0, 1)</f>
        <v>3916.0543972472874</v>
      </c>
      <c r="H8" s="11">
        <f>-FV('Interaktiver Rechner'!$D$19/12, B8*12, 'Interaktiver Rechner'!$D$7, 0, 1)</f>
        <v>3879.2660893022103</v>
      </c>
    </row>
    <row r="9" spans="2:9" ht="15" x14ac:dyDescent="0.5">
      <c r="B9" s="26">
        <v>4</v>
      </c>
      <c r="C9" s="11">
        <f>'Interaktiver Rechner'!$D$7*12</f>
        <v>1200</v>
      </c>
      <c r="D9" s="11">
        <f t="shared" si="0"/>
        <v>4800</v>
      </c>
      <c r="E9" s="11">
        <f>-FV('Interaktiver Rechner'!$D$16/12, B9*12, 'Interaktiver Rechner'!$D$7, 0, 1)</f>
        <v>5053.1917590371049</v>
      </c>
      <c r="F9" s="27">
        <f>-FV('Interaktiver Rechner'!$D$17/12, B9*12, 'Interaktiver Rechner'!$D$7, 0, 1)</f>
        <v>5553.1290086803701</v>
      </c>
      <c r="G9" s="11">
        <f>-FV('Interaktiver Rechner'!$D$18/12, B9*12, 'Interaktiver Rechner'!$D$7, 0, 1)</f>
        <v>5368.520167669396</v>
      </c>
      <c r="H9" s="11">
        <f>-FV('Interaktiver Rechner'!$D$19/12, B9*12, 'Interaktiver Rechner'!$D$7, 0, 1)</f>
        <v>5301.2846905106335</v>
      </c>
    </row>
    <row r="10" spans="2:9" ht="15" x14ac:dyDescent="0.5">
      <c r="B10" s="26">
        <v>5</v>
      </c>
      <c r="C10" s="11">
        <f>'Interaktiver Rechner'!$D$7*12</f>
        <v>1200</v>
      </c>
      <c r="D10" s="11">
        <f t="shared" si="0"/>
        <v>6000</v>
      </c>
      <c r="E10" s="11">
        <f>-FV('Interaktiver Rechner'!$D$16/12, B10*12, 'Interaktiver Rechner'!$D$7, 0, 1)</f>
        <v>6397.3539623600955</v>
      </c>
      <c r="F10" s="27">
        <f>-FV('Interaktiver Rechner'!$D$17/12, B10*12, 'Interaktiver Rechner'!$D$7, 0, 1)</f>
        <v>7201.0526907726517</v>
      </c>
      <c r="G10" s="11">
        <f>-FV('Interaktiver Rechner'!$D$18/12, B10*12, 'Interaktiver Rechner'!$D$7, 0, 1)</f>
        <v>6901.3897254607773</v>
      </c>
      <c r="H10" s="11">
        <f>-FV('Interaktiver Rechner'!$D$19/12, B10*12, 'Interaktiver Rechner'!$D$7, 0, 1)</f>
        <v>6793.0820395987112</v>
      </c>
    </row>
    <row r="11" spans="2:9" ht="15" x14ac:dyDescent="0.5">
      <c r="B11" s="26">
        <v>6</v>
      </c>
      <c r="C11" s="11">
        <f>'Interaktiver Rechner'!$D$7*12</f>
        <v>1200</v>
      </c>
      <c r="D11" s="11">
        <f t="shared" si="0"/>
        <v>7200</v>
      </c>
      <c r="E11" s="11">
        <f>-FV('Interaktiver Rechner'!$D$16/12, B11*12, 'Interaktiver Rechner'!$D$7, 0, 1)</f>
        <v>7775.5079537403917</v>
      </c>
      <c r="F11" s="27">
        <f>-FV('Interaktiver Rechner'!$D$17/12, B11*12, 'Interaktiver Rechner'!$D$7, 0, 1)</f>
        <v>8968.1049090882898</v>
      </c>
      <c r="G11" s="11">
        <f>-FV('Interaktiver Rechner'!$D$18/12, B11*12, 'Interaktiver Rechner'!$D$7, 0, 1)</f>
        <v>8519.1139631346778</v>
      </c>
      <c r="H11" s="11">
        <f>-FV('Interaktiver Rechner'!$D$19/12, B11*12, 'Interaktiver Rechner'!$D$7, 0, 1)</f>
        <v>8358.0821942064085</v>
      </c>
    </row>
    <row r="12" spans="2:9" ht="15" x14ac:dyDescent="0.5">
      <c r="B12" s="26">
        <v>7</v>
      </c>
      <c r="C12" s="11">
        <f>'Interaktiver Rechner'!$D$7*12</f>
        <v>1200</v>
      </c>
      <c r="D12" s="11">
        <f t="shared" si="0"/>
        <v>8400</v>
      </c>
      <c r="E12" s="11">
        <f>-FV('Interaktiver Rechner'!$D$16/12, B12*12, 'Interaktiver Rechner'!$D$7, 0, 1)</f>
        <v>9188.5133330480421</v>
      </c>
      <c r="F12" s="27">
        <f>-FV('Interaktiver Rechner'!$D$17/12, B12*12, 'Interaktiver Rechner'!$D$7, 0, 1)</f>
        <v>10862.897475143154</v>
      </c>
      <c r="G12" s="11">
        <f>-FV('Interaktiver Rechner'!$D$18/12, B12*12, 'Interaktiver Rechner'!$D$7, 0, 1)</f>
        <v>10226.39016015716</v>
      </c>
      <c r="H12" s="11">
        <f>-FV('Interaktiver Rechner'!$D$19/12, B12*12, 'Interaktiver Rechner'!$D$7, 0, 1)</f>
        <v>9999.8772311927114</v>
      </c>
    </row>
    <row r="13" spans="2:9" ht="15" x14ac:dyDescent="0.5">
      <c r="B13" s="26">
        <v>8</v>
      </c>
      <c r="C13" s="11">
        <f>'Interaktiver Rechner'!$D$7*12</f>
        <v>1200</v>
      </c>
      <c r="D13" s="11">
        <f t="shared" si="0"/>
        <v>9600</v>
      </c>
      <c r="E13" s="11">
        <f>-FV('Interaktiver Rechner'!$D$16/12, B13*12, 'Interaktiver Rechner'!$D$7, 0, 1)</f>
        <v>10637.251438107487</v>
      </c>
      <c r="F13" s="27">
        <f>-FV('Interaktiver Rechner'!$D$17/12, B13*12, 'Interaktiver Rechner'!$D$7, 0, 1)</f>
        <v>12894.664749003919</v>
      </c>
      <c r="G13" s="11">
        <f>-FV('Interaktiver Rechner'!$D$18/12, B13*12, 'Interaktiver Rechner'!$D$7, 0, 1)</f>
        <v>12028.175622128523</v>
      </c>
      <c r="H13" s="11">
        <f>-FV('Interaktiver Rechner'!$D$19/12, B13*12, 'Interaktiver Rechner'!$D$7, 0, 1)</f>
        <v>11722.235491373549</v>
      </c>
    </row>
    <row r="14" spans="2:9" ht="15" x14ac:dyDescent="0.5">
      <c r="B14" s="26">
        <v>9</v>
      </c>
      <c r="C14" s="11">
        <f>'Interaktiver Rechner'!$D$7*12</f>
        <v>1200</v>
      </c>
      <c r="D14" s="11">
        <f t="shared" si="0"/>
        <v>10800</v>
      </c>
      <c r="E14" s="11">
        <f>-FV('Interaktiver Rechner'!$D$16/12, B14*12, 'Interaktiver Rechner'!$D$7, 0, 1)</f>
        <v>12122.625894416775</v>
      </c>
      <c r="F14" s="27">
        <f>-FV('Interaktiver Rechner'!$D$17/12, B14*12, 'Interaktiver Rechner'!$D$7, 0, 1)</f>
        <v>15073.308643373135</v>
      </c>
      <c r="G14" s="11">
        <f>-FV('Interaktiver Rechner'!$D$18/12, B14*12, 'Interaktiver Rechner'!$D$7, 0, 1)</f>
        <v>13929.702074985542</v>
      </c>
      <c r="H14" s="11">
        <f>-FV('Interaktiver Rechner'!$D$19/12, B14*12, 'Interaktiver Rechner'!$D$7, 0, 1)</f>
        <v>13529.110228830748</v>
      </c>
    </row>
    <row r="15" spans="2:9" ht="15" x14ac:dyDescent="0.5">
      <c r="B15" s="26">
        <v>10</v>
      </c>
      <c r="C15" s="11">
        <f>'Interaktiver Rechner'!$D$7*12</f>
        <v>1200</v>
      </c>
      <c r="D15" s="11">
        <f t="shared" si="0"/>
        <v>12000</v>
      </c>
      <c r="E15" s="11">
        <f>-FV('Interaktiver Rechner'!$D$16/12, B15*12, 'Interaktiver Rechner'!$D$7, 0, 1)</f>
        <v>13645.563178768518</v>
      </c>
      <c r="F15" s="27">
        <f>-FV('Interaktiver Rechner'!$D$17/12, B15*12, 'Interaktiver Rechner'!$D$7, 0, 1)</f>
        <v>17409.446881023247</v>
      </c>
      <c r="G15" s="11">
        <f>-FV('Interaktiver Rechner'!$D$18/12, B15*12, 'Interaktiver Rechner'!$D$7, 0, 1)</f>
        <v>15936.490856019913</v>
      </c>
      <c r="H15" s="11">
        <f>-FV('Interaktiver Rechner'!$D$19/12, B15*12, 'Interaktiver Rechner'!$D$7, 0, 1)</f>
        <v>15424.648684644368</v>
      </c>
    </row>
    <row r="16" spans="2:9" ht="15" x14ac:dyDescent="0.5">
      <c r="B16" s="26">
        <v>11</v>
      </c>
      <c r="C16" s="11">
        <f>'Interaktiver Rechner'!$D$7*12</f>
        <v>1200</v>
      </c>
      <c r="D16" s="11">
        <f t="shared" si="0"/>
        <v>13200</v>
      </c>
      <c r="E16" s="11">
        <f>-FV('Interaktiver Rechner'!$D$16/12, B16*12, 'Interaktiver Rechner'!$D$7, 0, 1)</f>
        <v>15207.013197123837</v>
      </c>
      <c r="F16" s="27">
        <f>-FV('Interaktiver Rechner'!$D$17/12, B16*12, 'Interaktiver Rechner'!$D$7, 0, 1)</f>
        <v>19914.464740764433</v>
      </c>
      <c r="G16" s="11">
        <f>-FV('Interaktiver Rechner'!$D$18/12, B16*12, 'Interaktiver Rechner'!$D$7, 0, 1)</f>
        <v>18054.368945822251</v>
      </c>
      <c r="H16" s="11">
        <f>-FV('Interaktiver Rechner'!$D$19/12, B16*12, 'Interaktiver Rechner'!$D$7, 0, 1)</f>
        <v>17413.201605874972</v>
      </c>
    </row>
    <row r="17" spans="2:8" ht="15" x14ac:dyDescent="0.5">
      <c r="B17" s="26">
        <v>12</v>
      </c>
      <c r="C17" s="11">
        <f>'Interaktiver Rechner'!$D$7*12</f>
        <v>1200</v>
      </c>
      <c r="D17" s="11">
        <f t="shared" si="0"/>
        <v>14400</v>
      </c>
      <c r="E17" s="11">
        <f>-FV('Interaktiver Rechner'!$D$16/12, B17*12, 'Interaktiver Rechner'!$D$7, 0, 1)</f>
        <v>16807.949877099891</v>
      </c>
      <c r="F17" s="27">
        <f>-FV('Interaktiver Rechner'!$D$17/12, B17*12, 'Interaktiver Rechner'!$D$7, 0, 1)</f>
        <v>22600.570544132617</v>
      </c>
      <c r="G17" s="11">
        <f>-FV('Interaktiver Rechner'!$D$18/12, B17*12, 'Interaktiver Rechner'!$D$7, 0, 1)</f>
        <v>20289.485887702333</v>
      </c>
      <c r="H17" s="11">
        <f>-FV('Interaktiver Rechner'!$D$19/12, B17*12, 'Interaktiver Rechner'!$D$7, 0, 1)</f>
        <v>19499.333231644301</v>
      </c>
    </row>
    <row r="18" spans="2:8" ht="15" x14ac:dyDescent="0.5">
      <c r="B18" s="26">
        <v>13</v>
      </c>
      <c r="C18" s="11">
        <f>'Interaktiver Rechner'!$D$7*12</f>
        <v>1200</v>
      </c>
      <c r="D18" s="11">
        <f t="shared" si="0"/>
        <v>15600</v>
      </c>
      <c r="E18" s="11">
        <f>-FV('Interaktiver Rechner'!$D$16/12, B18*12, 'Interaktiver Rechner'!$D$7, 0, 1)</f>
        <v>18449.371775440501</v>
      </c>
      <c r="F18" s="27">
        <f>-FV('Interaktiver Rechner'!$D$17/12, B18*12, 'Interaktiver Rechner'!$D$7, 0, 1)</f>
        <v>25480.855153214696</v>
      </c>
      <c r="G18" s="11">
        <f>-FV('Interaktiver Rechner'!$D$18/12, B18*12, 'Interaktiver Rechner'!$D$7, 0, 1)</f>
        <v>22648.331643713536</v>
      </c>
      <c r="H18" s="11">
        <f>-FV('Interaktiver Rechner'!$D$19/12, B18*12, 'Interaktiver Rechner'!$D$7, 0, 1)</f>
        <v>21687.831769235061</v>
      </c>
    </row>
    <row r="19" spans="2:8" ht="15" x14ac:dyDescent="0.5">
      <c r="B19" s="26">
        <v>14</v>
      </c>
      <c r="C19" s="11">
        <f>'Interaktiver Rechner'!$D$7*12</f>
        <v>1200</v>
      </c>
      <c r="D19" s="11">
        <f t="shared" si="0"/>
        <v>16800</v>
      </c>
      <c r="E19" s="11">
        <f>-FV('Interaktiver Rechner'!$D$16/12, B19*12, 'Interaktiver Rechner'!$D$7, 0, 1)</f>
        <v>20132.302700848722</v>
      </c>
      <c r="F19" s="27">
        <f>-FV('Interaktiver Rechner'!$D$17/12, B19*12, 'Interaktiver Rechner'!$D$7, 0, 1)</f>
        <v>28569.355769576294</v>
      </c>
      <c r="G19" s="11">
        <f>-FV('Interaktiver Rechner'!$D$18/12, B19*12, 'Interaktiver Rechner'!$D$7, 0, 1)</f>
        <v>25137.755439128814</v>
      </c>
      <c r="H19" s="11">
        <f>-FV('Interaktiver Rechner'!$D$19/12, B19*12, 'Interaktiver Rechner'!$D$7, 0, 1)</f>
        <v>23983.720384255012</v>
      </c>
    </row>
    <row r="20" spans="2:8" ht="15" x14ac:dyDescent="0.5">
      <c r="B20" s="26">
        <v>15</v>
      </c>
      <c r="C20" s="11">
        <f>'Interaktiver Rechner'!$D$7*12</f>
        <v>1200</v>
      </c>
      <c r="D20" s="11">
        <f t="shared" si="0"/>
        <v>18000</v>
      </c>
      <c r="E20" s="11">
        <f>-FV('Interaktiver Rechner'!$D$16/12, B20*12, 'Interaktiver Rechner'!$D$7, 0, 1)</f>
        <v>21857.79235256997</v>
      </c>
      <c r="F20" s="27">
        <f>-FV('Interaktiver Rechner'!$D$17/12, B20*12, 'Interaktiver Rechner'!$D$7, 0, 1)</f>
        <v>31881.124345219199</v>
      </c>
      <c r="G20" s="11">
        <f>-FV('Interaktiver Rechner'!$D$18/12, B20*12, 'Interaktiver Rechner'!$D$7, 0, 1)</f>
        <v>27764.985650085568</v>
      </c>
      <c r="H20" s="11">
        <f>-FV('Interaktiver Rechner'!$D$19/12, B20*12, 'Interaktiver Rechner'!$D$7, 0, 1)</f>
        <v>26392.268730090786</v>
      </c>
    </row>
  </sheetData>
  <mergeCells count="1"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20"/>
  <sheetViews>
    <sheetView tabSelected="1" workbookViewId="0">
      <selection activeCell="C19" sqref="C19:H19"/>
    </sheetView>
  </sheetViews>
  <sheetFormatPr baseColWidth="10" defaultColWidth="8.9375" defaultRowHeight="14.35" x14ac:dyDescent="0.5"/>
  <cols>
    <col min="1" max="1" width="3" customWidth="1"/>
    <col min="2" max="2" width="32" customWidth="1"/>
    <col min="3" max="8" width="16" customWidth="1"/>
  </cols>
  <sheetData>
    <row r="2" spans="2:8" ht="22" x14ac:dyDescent="0.85">
      <c r="B2" s="29" t="s">
        <v>92</v>
      </c>
      <c r="C2" s="30"/>
      <c r="D2" s="30"/>
      <c r="E2" s="30"/>
      <c r="F2" s="30"/>
      <c r="G2" s="30"/>
      <c r="H2" s="30"/>
    </row>
    <row r="3" spans="2:8" ht="15" x14ac:dyDescent="0.6">
      <c r="B3" s="1" t="s">
        <v>93</v>
      </c>
    </row>
    <row r="5" spans="2:8" ht="17.350000000000001" x14ac:dyDescent="0.65">
      <c r="B5" s="2" t="s">
        <v>94</v>
      </c>
    </row>
    <row r="6" spans="2:8" ht="15" x14ac:dyDescent="0.5">
      <c r="B6" s="28" t="s">
        <v>95</v>
      </c>
      <c r="C6" s="32" t="s">
        <v>96</v>
      </c>
      <c r="D6" s="33"/>
      <c r="E6" s="33"/>
      <c r="F6" s="33"/>
      <c r="G6" s="33"/>
      <c r="H6" s="33"/>
    </row>
    <row r="7" spans="2:8" ht="15" x14ac:dyDescent="0.5">
      <c r="B7" s="28" t="s">
        <v>97</v>
      </c>
      <c r="C7" s="32" t="s">
        <v>98</v>
      </c>
      <c r="D7" s="33"/>
      <c r="E7" s="33"/>
      <c r="F7" s="33"/>
      <c r="G7" s="33"/>
      <c r="H7" s="33"/>
    </row>
    <row r="8" spans="2:8" ht="15" x14ac:dyDescent="0.5">
      <c r="B8" s="28" t="s">
        <v>99</v>
      </c>
      <c r="C8" s="32" t="s">
        <v>100</v>
      </c>
      <c r="D8" s="33"/>
      <c r="E8" s="33"/>
      <c r="F8" s="33"/>
      <c r="G8" s="33"/>
      <c r="H8" s="33"/>
    </row>
    <row r="9" spans="2:8" ht="15" x14ac:dyDescent="0.5">
      <c r="B9" s="28" t="s">
        <v>101</v>
      </c>
      <c r="C9" s="32" t="s">
        <v>102</v>
      </c>
      <c r="D9" s="33"/>
      <c r="E9" s="33"/>
      <c r="F9" s="33"/>
      <c r="G9" s="33"/>
      <c r="H9" s="33"/>
    </row>
    <row r="11" spans="2:8" ht="17.350000000000001" x14ac:dyDescent="0.65">
      <c r="B11" s="2" t="s">
        <v>103</v>
      </c>
    </row>
    <row r="12" spans="2:8" ht="71.7" customHeight="1" x14ac:dyDescent="0.5">
      <c r="B12" s="28" t="s">
        <v>104</v>
      </c>
      <c r="C12" s="32" t="s">
        <v>117</v>
      </c>
      <c r="D12" s="33"/>
      <c r="E12" s="33"/>
      <c r="F12" s="33"/>
      <c r="G12" s="33"/>
      <c r="H12" s="33"/>
    </row>
    <row r="13" spans="2:8" ht="91.35" customHeight="1" x14ac:dyDescent="0.5">
      <c r="B13" s="28" t="s">
        <v>105</v>
      </c>
      <c r="C13" s="32" t="s">
        <v>118</v>
      </c>
      <c r="D13" s="33"/>
      <c r="E13" s="33"/>
      <c r="F13" s="33"/>
      <c r="G13" s="33"/>
      <c r="H13" s="33"/>
    </row>
    <row r="14" spans="2:8" ht="39.35" customHeight="1" x14ac:dyDescent="0.5">
      <c r="B14" s="28" t="s">
        <v>106</v>
      </c>
      <c r="C14" s="32" t="s">
        <v>116</v>
      </c>
      <c r="D14" s="33"/>
      <c r="E14" s="33"/>
      <c r="F14" s="33"/>
      <c r="G14" s="33"/>
      <c r="H14" s="33"/>
    </row>
    <row r="15" spans="2:8" ht="47.7" customHeight="1" x14ac:dyDescent="0.5">
      <c r="B15" s="28" t="s">
        <v>107</v>
      </c>
      <c r="C15" s="32" t="s">
        <v>108</v>
      </c>
      <c r="D15" s="33"/>
      <c r="E15" s="33"/>
      <c r="F15" s="33"/>
      <c r="G15" s="33"/>
      <c r="H15" s="33"/>
    </row>
    <row r="17" spans="2:8" ht="17.350000000000001" x14ac:dyDescent="0.65">
      <c r="B17" s="2" t="s">
        <v>109</v>
      </c>
    </row>
    <row r="18" spans="2:8" ht="15" x14ac:dyDescent="0.5">
      <c r="B18" s="28" t="s">
        <v>110</v>
      </c>
      <c r="C18" s="32" t="s">
        <v>111</v>
      </c>
      <c r="D18" s="33"/>
      <c r="E18" s="33"/>
      <c r="F18" s="33"/>
      <c r="G18" s="33"/>
      <c r="H18" s="33"/>
    </row>
    <row r="19" spans="2:8" ht="15" x14ac:dyDescent="0.5">
      <c r="B19" s="28" t="s">
        <v>112</v>
      </c>
      <c r="C19" s="32" t="s">
        <v>113</v>
      </c>
      <c r="D19" s="33"/>
      <c r="E19" s="33"/>
      <c r="F19" s="33"/>
      <c r="G19" s="33"/>
      <c r="H19" s="33"/>
    </row>
    <row r="20" spans="2:8" ht="15" x14ac:dyDescent="0.5">
      <c r="B20" s="28" t="s">
        <v>114</v>
      </c>
      <c r="C20" s="32" t="s">
        <v>115</v>
      </c>
      <c r="D20" s="33"/>
      <c r="E20" s="33"/>
      <c r="F20" s="33"/>
      <c r="G20" s="33"/>
      <c r="H20" s="33"/>
    </row>
  </sheetData>
  <mergeCells count="12">
    <mergeCell ref="B2:H2"/>
    <mergeCell ref="C18:H18"/>
    <mergeCell ref="C20:H20"/>
    <mergeCell ref="C12:H12"/>
    <mergeCell ref="C7:H7"/>
    <mergeCell ref="C15:H15"/>
    <mergeCell ref="C6:H6"/>
    <mergeCell ref="C19:H19"/>
    <mergeCell ref="C14:H14"/>
    <mergeCell ref="C13:H13"/>
    <mergeCell ref="C9:H9"/>
    <mergeCell ref="C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Übersicht &amp; Vergleich</vt:lpstr>
      <vt:lpstr>Interaktiver Rechner</vt:lpstr>
      <vt:lpstr>Jahresverlauf (Simulation)</vt:lpstr>
      <vt:lpstr>Steuer-Ratgeber &amp; Auszahlung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Kirst</cp:lastModifiedBy>
  <dcterms:created xsi:type="dcterms:W3CDTF">2026-08-27T12:24:55Z</dcterms:created>
  <dcterms:modified xsi:type="dcterms:W3CDTF">2026-08-27T12:57:13Z</dcterms:modified>
</cp:coreProperties>
</file>